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ozo/Desktop/"/>
    </mc:Choice>
  </mc:AlternateContent>
  <xr:revisionPtr revIDLastSave="0" documentId="13_ncr:1_{7DCCF7F7-8C1B-9F4B-9A28-89990D727156}" xr6:coauthVersionLast="47" xr6:coauthVersionMax="47" xr10:uidLastSave="{00000000-0000-0000-0000-000000000000}"/>
  <bookViews>
    <workbookView xWindow="240" yWindow="600" windowWidth="22220" windowHeight="9660" xr2:uid="{00000000-000D-0000-FFFF-FFFF00000000}"/>
  </bookViews>
  <sheets>
    <sheet name="Summary" sheetId="1" r:id="rId1"/>
    <sheet name="Diff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C7" i="1"/>
  <c r="D7" i="1"/>
  <c r="E7" i="1"/>
  <c r="F7" i="1"/>
  <c r="G7" i="1"/>
  <c r="H7" i="1"/>
  <c r="B3" i="1"/>
  <c r="B4" i="1"/>
  <c r="B5" i="1"/>
  <c r="B6" i="1"/>
  <c r="B10" i="1"/>
  <c r="B11" i="1"/>
  <c r="B12" i="1" s="1"/>
  <c r="B2" i="1"/>
  <c r="B7" i="1" l="1"/>
</calcChain>
</file>

<file path=xl/sharedStrings.xml><?xml version="1.0" encoding="utf-8"?>
<sst xmlns="http://schemas.openxmlformats.org/spreadsheetml/2006/main" count="269" uniqueCount="75">
  <si>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</si>
  <si>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</si>
  <si>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</si>
  <si>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</si>
  <si>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</si>
  <si>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</si>
  <si>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</si>
  <si>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</si>
  <si>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</si>
  <si>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</si>
  <si>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</si>
  <si>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</si>
  <si>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</si>
  <si>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</si>
  <si>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</si>
  <si>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</si>
  <si>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</si>
  <si>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</si>
  <si>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</si>
  <si>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</si>
  <si>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</si>
  <si>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</si>
  <si>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</si>
  <si>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EE6313-405-04B</t>
  </si>
  <si>
    <t>EE6313-405-16E</t>
  </si>
  <si>
    <t>EE6313-546-01D</t>
  </si>
  <si>
    <t>EE6313-545-01D</t>
  </si>
  <si>
    <t>EE5283-517-07B</t>
  </si>
  <si>
    <t>DE5327-405-26A</t>
  </si>
  <si>
    <t>DE5027-558-01B</t>
  </si>
  <si>
    <t>EE5897-405-15A</t>
  </si>
  <si>
    <t>EE6313-405-04A</t>
  </si>
  <si>
    <t>EE6313-405-16D</t>
  </si>
  <si>
    <t>EE6313-546-01C</t>
  </si>
  <si>
    <t>EE6313-545-01C</t>
  </si>
  <si>
    <t>none</t>
  </si>
  <si>
    <t>RevUp</t>
  </si>
  <si>
    <t>完全新規図面</t>
  </si>
  <si>
    <t>ELECTRICAL SCHEMATIC DIAGRAM</t>
  </si>
  <si>
    <t>ELECTRICAL SCHEMATIC DAGRAM</t>
  </si>
  <si>
    <t>ＰＯＷＥＲ ＬＩＮＥ （ＤＣ ＬＩＮＥ）</t>
  </si>
  <si>
    <t>ＥＴＨＥＲＣＡＴ （ＵＴＩＬＩＴＹ）</t>
  </si>
  <si>
    <t>ＢＡＫＥ ＨＥＡＴＥＲ ＲＸ</t>
  </si>
  <si>
    <t>ＢＡＫＥ ＨＥＡＴＥＲ ＦＸ</t>
  </si>
  <si>
    <t>ＬＰＵ＿ＰＯＷＥＲ ＬＩＮＥ</t>
  </si>
  <si>
    <t>ＳＡＶＥ ＮＥＴ</t>
  </si>
  <si>
    <t>ＯＵＴＰＵＴ ＬＡ／ＬＢ</t>
  </si>
  <si>
    <t>n/a</t>
  </si>
  <si>
    <t>"01"</t>
    <phoneticPr fontId="2"/>
  </si>
  <si>
    <t>"02"</t>
  </si>
  <si>
    <t>"03"</t>
  </si>
  <si>
    <t>"04"</t>
  </si>
  <si>
    <t>"05"</t>
  </si>
  <si>
    <t>"06"</t>
  </si>
  <si>
    <t>EE6661-405-23B</t>
  </si>
  <si>
    <t>EE6661-405-23A</t>
  </si>
  <si>
    <t>ＤＥＶＩＣＥ ＮＥＴ</t>
  </si>
  <si>
    <t>DE3527-553-10E</t>
  </si>
  <si>
    <t>DE3527-553-10D</t>
  </si>
  <si>
    <t>ＩＮＰＵＴ ＬＡ／ＬＢ H</t>
  </si>
  <si>
    <t>DE3527-553-10E 5 5</t>
  </si>
  <si>
    <t>EE6661-405-05B</t>
  </si>
  <si>
    <t>EE6661-405-05A</t>
  </si>
  <si>
    <t>ＰＯＷＥＲ ＬＩＮＥ （ＣＢ ＢＯＸ Ｃ１）</t>
  </si>
  <si>
    <t>EE6661-506-01B</t>
  </si>
  <si>
    <t>EE6661-506-01A</t>
  </si>
  <si>
    <t>ＤＥＴＥＣＴＩＯＮ ＭＥＣＨＡＮＩＳＭ</t>
  </si>
  <si>
    <t>EE6661-405B</t>
  </si>
  <si>
    <t>EE6661-405A</t>
  </si>
  <si>
    <t>ＵＴＩＬＩＴＹ ＤＩＡＧＲＡＭ ＬＩＳＴ</t>
  </si>
  <si>
    <t>EE6661-405-13B</t>
  </si>
  <si>
    <t>EE6661-405-13A</t>
  </si>
  <si>
    <t>EE6661-405-15A</t>
  </si>
  <si>
    <t>流用</t>
  </si>
  <si>
    <t>TOTAL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</si>
</sst>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3" fontId="0" fillId="0" borderId="0" xfId="0" applyNumberFormat="1"/>
    <xf numFmtId="3" fontId="0" fillId="0" borderId="2" xfId="0" applyNumberFormat="1" applyBorder="1" applyAlignment="1">
      <alignment horizontal="right"/>
    </xf>
    <xf numFmtId="0" fontId="0" fillId="0" borderId="1" xfId="0" applyBorder="1"/>
    <xf numFmtId="10" fontId="0" fillId="0" borderId="1" xfId="1" applyNumberFormat="1" applyFont="1" applyBorder="1" applyAlignment="1"/>
    <xf numFmtId="0" fontId="0" fillId="3" borderId="1" xfId="0" applyFill="1" applyBorder="1"/>
    <xf numFmtId="3" fontId="0" fillId="4" borderId="1" xfId="0" applyNumberFormat="1" applyFill="1" applyBorder="1"/>
    <xf numFmtId="10" fontId="0" fillId="4" borderId="1" xfId="1" applyNumberFormat="1" applyFont="1" applyFill="1" applyBorder="1" applyAlignment="1"/>
    <xf numFmtId="10" fontId="0" fillId="0" borderId="2" xfId="1" applyNumberFormat="1" applyFont="1" applyBorder="1" applyAlignment="1"/>
  </cellXfs>
  <cellStyles count="2">
    <cellStyle name="パーセント" xfId="1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20" zoomScaleNormal="120" workbookViewId="0">
      <selection activeCell="I7" sqref="I7"/>
    </sheetView>
  </sheetViews>
  <sheetFormatPr baseColWidth="10" defaultColWidth="8.83203125" defaultRowHeight="14"/>
  <cols>
    <col min="1" max="1" width="25" bestFit="1" customWidth="1"/>
    <col min="3" max="3" width="7.33203125" bestFit="1" customWidth="1"/>
  </cols>
  <sheetData>
    <row r="1" spans="1:8">
      <c r="A1" s="1" t="s">
        <v>0</v>
      </c>
      <c r="B1" s="10" t="s">
        <v>74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s="8" t="s">
        <v>53</v>
      </c>
    </row>
    <row r="2" spans="1:8">
      <c r="A2" s="2" t="s">
        <v>1</v>
      </c>
      <c r="B2" s="11">
        <f>SUM(C2:H2)</f>
        <v>611</v>
      </c>
      <c r="C2" s="3">
        <v>34</v>
      </c>
      <c r="D2" s="3">
        <v>9</v>
      </c>
      <c r="E2" s="3">
        <v>53</v>
      </c>
      <c r="F2" s="3">
        <v>48</v>
      </c>
      <c r="G2" s="7">
        <v>68</v>
      </c>
      <c r="H2" s="3">
        <v>399</v>
      </c>
    </row>
    <row r="3" spans="1:8">
      <c r="A3" s="2" t="s">
        <v>2</v>
      </c>
      <c r="B3" s="11">
        <f>SUM(C3:H3)</f>
        <v>31508</v>
      </c>
      <c r="C3" s="3">
        <v>5347</v>
      </c>
      <c r="D3" s="3">
        <v>5318</v>
      </c>
      <c r="E3" s="3">
        <v>5366</v>
      </c>
      <c r="F3" s="3">
        <v>5428</v>
      </c>
      <c r="G3" s="7">
        <v>5504</v>
      </c>
      <c r="H3" s="3">
        <v>4545</v>
      </c>
    </row>
    <row r="4" spans="1:8">
      <c r="A4" s="2" t="s">
        <v>3</v>
      </c>
      <c r="B4" s="11">
        <f>SUM(C4:H4)</f>
        <v>1847</v>
      </c>
      <c r="C4" s="3">
        <v>76</v>
      </c>
      <c r="D4" s="3">
        <v>22</v>
      </c>
      <c r="E4" s="3">
        <v>114</v>
      </c>
      <c r="F4" s="3">
        <v>171</v>
      </c>
      <c r="G4" s="7">
        <v>267</v>
      </c>
      <c r="H4" s="3">
        <v>1197</v>
      </c>
    </row>
    <row r="5" spans="1:8">
      <c r="A5" s="2" t="s">
        <v>4</v>
      </c>
      <c r="B5" s="11">
        <f>SUM(C5:H5)</f>
        <v>96889</v>
      </c>
      <c r="C5" s="3">
        <v>24914</v>
      </c>
      <c r="D5" s="3">
        <v>11009</v>
      </c>
      <c r="E5" s="3">
        <v>10968</v>
      </c>
      <c r="F5" s="3">
        <v>12924</v>
      </c>
      <c r="G5" s="7">
        <v>28656</v>
      </c>
      <c r="H5" s="3">
        <v>8418</v>
      </c>
    </row>
    <row r="6" spans="1:8">
      <c r="A6" s="2" t="s">
        <v>5</v>
      </c>
      <c r="B6" s="11">
        <f>SUM(C6:H6)</f>
        <v>129008</v>
      </c>
      <c r="C6" s="3">
        <v>30295</v>
      </c>
      <c r="D6" s="3">
        <v>16336</v>
      </c>
      <c r="E6" s="3">
        <v>16387</v>
      </c>
      <c r="F6" s="3">
        <v>18400</v>
      </c>
      <c r="G6" s="7">
        <v>34228</v>
      </c>
      <c r="H6" s="3">
        <v>13362</v>
      </c>
    </row>
    <row r="7" spans="1:8">
      <c r="A7" s="2" t="s">
        <v>6</v>
      </c>
      <c r="B7" s="12">
        <f>B4/B6</f>
        <v>1.4316941585017983E-2</v>
      </c>
      <c r="C7" s="9">
        <f t="shared" ref="C7:G7" si="0">C4/C6</f>
        <v>2.5086647961709853E-3</v>
      </c>
      <c r="D7" s="9">
        <f t="shared" si="0"/>
        <v>1.3467189030362389E-3</v>
      </c>
      <c r="E7" s="9">
        <f t="shared" si="0"/>
        <v>6.956733996460609E-3</v>
      </c>
      <c r="F7" s="9">
        <f t="shared" si="0"/>
        <v>9.2934782608695646E-3</v>
      </c>
      <c r="G7" s="13">
        <f t="shared" si="0"/>
        <v>7.8006310622881847E-3</v>
      </c>
      <c r="H7" s="9">
        <f>H4/H6</f>
        <v>8.9582397844634037E-2</v>
      </c>
    </row>
    <row r="8" spans="1:8">
      <c r="B8" s="6"/>
    </row>
    <row r="9" spans="1:8">
      <c r="A9" s="1" t="s">
        <v>7</v>
      </c>
      <c r="B9" s="6"/>
    </row>
    <row r="10" spans="1:8">
      <c r="A10" s="2" t="s">
        <v>8</v>
      </c>
      <c r="B10" s="11">
        <f>SUM(C10:H10)</f>
        <v>353</v>
      </c>
      <c r="C10" s="3">
        <v>61</v>
      </c>
      <c r="D10" s="3">
        <v>58</v>
      </c>
      <c r="E10" s="3">
        <v>58</v>
      </c>
      <c r="F10" s="3">
        <v>58</v>
      </c>
      <c r="G10" s="3">
        <v>58</v>
      </c>
      <c r="H10" s="3">
        <v>60</v>
      </c>
    </row>
    <row r="11" spans="1:8">
      <c r="A11" s="2" t="s">
        <v>9</v>
      </c>
      <c r="B11" s="11">
        <f>SUM(C11:H11)</f>
        <v>11</v>
      </c>
      <c r="C11" s="3">
        <v>4</v>
      </c>
      <c r="D11" s="3">
        <v>1</v>
      </c>
      <c r="E11" s="3">
        <v>1</v>
      </c>
      <c r="F11" s="3">
        <v>1</v>
      </c>
      <c r="G11" s="3">
        <v>1</v>
      </c>
      <c r="H11" s="3">
        <v>3</v>
      </c>
    </row>
    <row r="12" spans="1:8">
      <c r="A12" s="2" t="s">
        <v>10</v>
      </c>
      <c r="B12" s="12">
        <f>B11/B10</f>
        <v>3.1161473087818695E-2</v>
      </c>
      <c r="C12" s="9">
        <f t="shared" ref="C12:H12" si="1">C11/C10</f>
        <v>6.5573770491803282E-2</v>
      </c>
      <c r="D12" s="9">
        <f t="shared" si="1"/>
        <v>1.7241379310344827E-2</v>
      </c>
      <c r="E12" s="9">
        <f t="shared" si="1"/>
        <v>1.7241379310344827E-2</v>
      </c>
      <c r="F12" s="9">
        <f t="shared" si="1"/>
        <v>1.7241379310344827E-2</v>
      </c>
      <c r="G12" s="9">
        <f t="shared" si="1"/>
        <v>1.7241379310344827E-2</v>
      </c>
      <c r="H12" s="9">
        <f t="shared" si="1"/>
        <v>0.05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opLeftCell="A6" zoomScale="120" zoomScaleNormal="120" workbookViewId="0">
      <selection activeCell="A36" sqref="A36"/>
    </sheetView>
  </sheetViews>
  <sheetFormatPr baseColWidth="10" defaultColWidth="8.83203125" defaultRowHeight="14"/>
  <cols>
    <col min="1" max="1" width="16.83203125" bestFit="1" customWidth="1"/>
    <col min="2" max="2" width="16.5" bestFit="1" customWidth="1"/>
    <col min="3" max="3" width="13" bestFit="1" customWidth="1"/>
    <col min="4" max="4" width="32.5" bestFit="1" customWidth="1"/>
    <col min="5" max="5" width="25.6640625" bestFit="1" customWidth="1"/>
    <col min="6" max="6" width="20" bestFit="1" customWidth="1"/>
    <col min="7" max="7" width="5.83203125" bestFit="1" customWidth="1"/>
    <col min="8" max="8" width="14.5" bestFit="1" customWidth="1"/>
    <col min="9" max="9" width="13" bestFit="1" customWidth="1"/>
    <col min="10" max="10" width="10.83203125" bestFit="1" customWidth="1"/>
    <col min="11" max="11" width="17.5" bestFit="1" customWidth="1"/>
    <col min="12" max="12" width="12.1640625" bestFit="1" customWidth="1"/>
  </cols>
  <sheetData>
    <row r="1" spans="1:12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</row>
    <row r="2" spans="1:12">
      <c r="A2" t="s">
        <v>23</v>
      </c>
      <c r="B2" t="s">
        <v>31</v>
      </c>
      <c r="C2" t="s">
        <v>36</v>
      </c>
      <c r="D2" t="s">
        <v>38</v>
      </c>
      <c r="E2" t="s">
        <v>40</v>
      </c>
      <c r="F2" s="5">
        <v>46212.015187949743</v>
      </c>
      <c r="H2">
        <v>10</v>
      </c>
      <c r="I2">
        <v>6</v>
      </c>
      <c r="J2">
        <v>16</v>
      </c>
      <c r="K2">
        <v>2685</v>
      </c>
      <c r="L2">
        <v>2701</v>
      </c>
    </row>
    <row r="3" spans="1:12">
      <c r="A3" t="s">
        <v>24</v>
      </c>
      <c r="B3" t="s">
        <v>32</v>
      </c>
      <c r="C3" t="s">
        <v>36</v>
      </c>
      <c r="D3" t="s">
        <v>39</v>
      </c>
      <c r="E3" t="s">
        <v>41</v>
      </c>
      <c r="F3" s="5">
        <v>46212.015187961792</v>
      </c>
      <c r="H3">
        <v>14</v>
      </c>
      <c r="I3">
        <v>18</v>
      </c>
      <c r="J3">
        <v>32</v>
      </c>
      <c r="K3">
        <v>1143</v>
      </c>
      <c r="L3">
        <v>1175</v>
      </c>
    </row>
    <row r="4" spans="1:12">
      <c r="A4" t="s">
        <v>25</v>
      </c>
      <c r="B4" t="s">
        <v>33</v>
      </c>
      <c r="C4" t="s">
        <v>36</v>
      </c>
      <c r="D4" t="s">
        <v>38</v>
      </c>
      <c r="E4" t="s">
        <v>42</v>
      </c>
      <c r="F4" s="5">
        <v>46212.015187971039</v>
      </c>
      <c r="H4">
        <v>5</v>
      </c>
      <c r="I4">
        <v>9</v>
      </c>
      <c r="J4">
        <v>14</v>
      </c>
      <c r="K4">
        <v>10666</v>
      </c>
      <c r="L4">
        <v>10680</v>
      </c>
    </row>
    <row r="5" spans="1:12">
      <c r="A5" t="s">
        <v>26</v>
      </c>
      <c r="B5" t="s">
        <v>34</v>
      </c>
      <c r="C5" t="s">
        <v>36</v>
      </c>
      <c r="D5" t="s">
        <v>38</v>
      </c>
      <c r="E5" t="s">
        <v>43</v>
      </c>
      <c r="F5" s="5">
        <v>46212.015187980032</v>
      </c>
      <c r="H5">
        <v>5</v>
      </c>
      <c r="I5">
        <v>9</v>
      </c>
      <c r="J5">
        <v>14</v>
      </c>
      <c r="K5">
        <v>10420</v>
      </c>
      <c r="L5">
        <v>10434</v>
      </c>
    </row>
    <row r="6" spans="1:12">
      <c r="A6" t="s">
        <v>27</v>
      </c>
      <c r="B6" t="s">
        <v>35</v>
      </c>
      <c r="C6" t="s">
        <v>37</v>
      </c>
      <c r="D6" t="s">
        <v>38</v>
      </c>
      <c r="E6" t="s">
        <v>44</v>
      </c>
      <c r="F6" s="5">
        <v>46212.015198502937</v>
      </c>
      <c r="H6" t="s">
        <v>47</v>
      </c>
      <c r="I6">
        <v>930</v>
      </c>
      <c r="J6" t="s">
        <v>47</v>
      </c>
      <c r="K6" t="s">
        <v>47</v>
      </c>
      <c r="L6">
        <v>930</v>
      </c>
    </row>
    <row r="7" spans="1:12">
      <c r="A7" t="s">
        <v>28</v>
      </c>
      <c r="B7" t="s">
        <v>35</v>
      </c>
      <c r="C7" t="s">
        <v>37</v>
      </c>
      <c r="D7" t="s">
        <v>38</v>
      </c>
      <c r="E7" t="s">
        <v>45</v>
      </c>
      <c r="F7" s="5">
        <v>46212.01519851436</v>
      </c>
      <c r="H7" t="s">
        <v>47</v>
      </c>
      <c r="I7">
        <v>458</v>
      </c>
      <c r="J7" t="s">
        <v>47</v>
      </c>
      <c r="K7" t="s">
        <v>47</v>
      </c>
      <c r="L7">
        <v>458</v>
      </c>
    </row>
    <row r="8" spans="1:12">
      <c r="A8" t="s">
        <v>29</v>
      </c>
      <c r="B8" t="s">
        <v>35</v>
      </c>
      <c r="C8" t="s">
        <v>37</v>
      </c>
      <c r="D8" t="s">
        <v>38</v>
      </c>
      <c r="E8" t="s">
        <v>46</v>
      </c>
      <c r="F8" s="5">
        <v>46212.015198522902</v>
      </c>
      <c r="H8" t="s">
        <v>47</v>
      </c>
      <c r="I8">
        <v>2359</v>
      </c>
      <c r="J8" t="s">
        <v>47</v>
      </c>
      <c r="K8" t="s">
        <v>47</v>
      </c>
      <c r="L8">
        <v>2359</v>
      </c>
    </row>
    <row r="9" spans="1:12">
      <c r="A9" t="s">
        <v>30</v>
      </c>
      <c r="B9" t="s">
        <v>35</v>
      </c>
      <c r="C9" t="s">
        <v>37</v>
      </c>
      <c r="D9" t="s">
        <v>38</v>
      </c>
      <c r="E9" t="s">
        <v>45</v>
      </c>
      <c r="F9" s="5">
        <v>46212.015198531051</v>
      </c>
      <c r="H9" t="s">
        <v>47</v>
      </c>
      <c r="I9">
        <v>1558</v>
      </c>
      <c r="J9" t="s">
        <v>47</v>
      </c>
      <c r="K9" t="s">
        <v>47</v>
      </c>
      <c r="L9">
        <v>1558</v>
      </c>
    </row>
    <row r="10" spans="1:12">
      <c r="A10" t="s">
        <v>54</v>
      </c>
      <c r="B10" t="s">
        <v>55</v>
      </c>
      <c r="C10" t="s">
        <v>36</v>
      </c>
      <c r="D10" t="s">
        <v>38</v>
      </c>
      <c r="E10" t="s">
        <v>56</v>
      </c>
      <c r="F10" s="5">
        <v>46212.012249612497</v>
      </c>
      <c r="H10">
        <v>9</v>
      </c>
      <c r="I10">
        <v>13</v>
      </c>
      <c r="J10">
        <v>22</v>
      </c>
      <c r="K10">
        <v>11009</v>
      </c>
      <c r="L10">
        <v>11031</v>
      </c>
    </row>
    <row r="11" spans="1:12">
      <c r="A11" t="s">
        <v>27</v>
      </c>
      <c r="B11" t="s">
        <v>35</v>
      </c>
      <c r="C11" t="s">
        <v>37</v>
      </c>
      <c r="D11" t="s">
        <v>38</v>
      </c>
      <c r="E11" t="s">
        <v>44</v>
      </c>
      <c r="F11" s="5">
        <v>46212.012260314907</v>
      </c>
      <c r="H11" t="s">
        <v>47</v>
      </c>
      <c r="I11">
        <v>930</v>
      </c>
      <c r="J11" t="s">
        <v>47</v>
      </c>
      <c r="K11" t="s">
        <v>47</v>
      </c>
      <c r="L11">
        <v>930</v>
      </c>
    </row>
    <row r="12" spans="1:12">
      <c r="A12" t="s">
        <v>28</v>
      </c>
      <c r="B12" t="s">
        <v>35</v>
      </c>
      <c r="C12" t="s">
        <v>37</v>
      </c>
      <c r="D12" t="s">
        <v>38</v>
      </c>
      <c r="E12" t="s">
        <v>45</v>
      </c>
      <c r="F12" s="5">
        <v>46212.012260327712</v>
      </c>
      <c r="H12" t="s">
        <v>47</v>
      </c>
      <c r="I12">
        <v>458</v>
      </c>
      <c r="J12" t="s">
        <v>47</v>
      </c>
      <c r="K12" t="s">
        <v>47</v>
      </c>
      <c r="L12">
        <v>458</v>
      </c>
    </row>
    <row r="13" spans="1:12">
      <c r="A13" t="s">
        <v>29</v>
      </c>
      <c r="B13" t="s">
        <v>35</v>
      </c>
      <c r="C13" t="s">
        <v>37</v>
      </c>
      <c r="D13" t="s">
        <v>38</v>
      </c>
      <c r="E13" t="s">
        <v>46</v>
      </c>
      <c r="F13" s="5">
        <v>46212.012260337571</v>
      </c>
      <c r="H13" t="s">
        <v>47</v>
      </c>
      <c r="I13">
        <v>2359</v>
      </c>
      <c r="J13" t="s">
        <v>47</v>
      </c>
      <c r="K13" t="s">
        <v>47</v>
      </c>
      <c r="L13">
        <v>2359</v>
      </c>
    </row>
    <row r="14" spans="1:12">
      <c r="A14" t="s">
        <v>30</v>
      </c>
      <c r="B14" t="s">
        <v>35</v>
      </c>
      <c r="C14" t="s">
        <v>37</v>
      </c>
      <c r="D14" t="s">
        <v>38</v>
      </c>
      <c r="E14" t="s">
        <v>45</v>
      </c>
      <c r="F14" s="5">
        <v>46212.012260346841</v>
      </c>
      <c r="H14" t="s">
        <v>47</v>
      </c>
      <c r="I14">
        <v>1558</v>
      </c>
      <c r="J14" t="s">
        <v>47</v>
      </c>
      <c r="K14" t="s">
        <v>47</v>
      </c>
      <c r="L14">
        <v>1558</v>
      </c>
    </row>
    <row r="15" spans="1:12">
      <c r="A15" t="s">
        <v>57</v>
      </c>
      <c r="B15" t="s">
        <v>58</v>
      </c>
      <c r="C15" t="s">
        <v>36</v>
      </c>
      <c r="D15" t="s">
        <v>59</v>
      </c>
      <c r="E15" t="s">
        <v>60</v>
      </c>
      <c r="F15" s="5">
        <v>46212.009493081358</v>
      </c>
      <c r="H15">
        <v>53</v>
      </c>
      <c r="I15">
        <v>61</v>
      </c>
      <c r="J15">
        <v>114</v>
      </c>
      <c r="K15">
        <v>10968</v>
      </c>
      <c r="L15">
        <v>11082</v>
      </c>
    </row>
    <row r="16" spans="1:12">
      <c r="A16" t="s">
        <v>27</v>
      </c>
      <c r="B16" t="s">
        <v>35</v>
      </c>
      <c r="C16" t="s">
        <v>37</v>
      </c>
      <c r="D16" t="s">
        <v>38</v>
      </c>
      <c r="E16" t="s">
        <v>44</v>
      </c>
      <c r="F16" s="5">
        <v>46212.009503531619</v>
      </c>
      <c r="H16" t="s">
        <v>47</v>
      </c>
      <c r="I16">
        <v>930</v>
      </c>
      <c r="J16" t="s">
        <v>47</v>
      </c>
      <c r="K16" t="s">
        <v>47</v>
      </c>
      <c r="L16">
        <v>930</v>
      </c>
    </row>
    <row r="17" spans="1:12">
      <c r="A17" t="s">
        <v>28</v>
      </c>
      <c r="B17" t="s">
        <v>35</v>
      </c>
      <c r="C17" t="s">
        <v>37</v>
      </c>
      <c r="D17" t="s">
        <v>38</v>
      </c>
      <c r="E17" t="s">
        <v>45</v>
      </c>
      <c r="F17" s="5">
        <v>46212.009503542882</v>
      </c>
      <c r="H17" t="s">
        <v>47</v>
      </c>
      <c r="I17">
        <v>458</v>
      </c>
      <c r="J17" t="s">
        <v>47</v>
      </c>
      <c r="K17" t="s">
        <v>47</v>
      </c>
      <c r="L17">
        <v>458</v>
      </c>
    </row>
    <row r="18" spans="1:12">
      <c r="A18" t="s">
        <v>29</v>
      </c>
      <c r="B18" t="s">
        <v>35</v>
      </c>
      <c r="C18" t="s">
        <v>37</v>
      </c>
      <c r="D18" t="s">
        <v>38</v>
      </c>
      <c r="E18" t="s">
        <v>46</v>
      </c>
      <c r="F18" s="5">
        <v>46212.009503551373</v>
      </c>
      <c r="H18" t="s">
        <v>47</v>
      </c>
      <c r="I18">
        <v>2359</v>
      </c>
      <c r="J18" t="s">
        <v>47</v>
      </c>
      <c r="K18" t="s">
        <v>47</v>
      </c>
      <c r="L18">
        <v>2359</v>
      </c>
    </row>
    <row r="19" spans="1:12">
      <c r="A19" t="s">
        <v>30</v>
      </c>
      <c r="B19" t="s">
        <v>35</v>
      </c>
      <c r="C19" t="s">
        <v>37</v>
      </c>
      <c r="D19" t="s">
        <v>38</v>
      </c>
      <c r="E19" t="s">
        <v>45</v>
      </c>
      <c r="F19" s="5">
        <v>46212.009503559457</v>
      </c>
      <c r="H19" t="s">
        <v>47</v>
      </c>
      <c r="I19">
        <v>1558</v>
      </c>
      <c r="J19" t="s">
        <v>47</v>
      </c>
      <c r="K19" t="s">
        <v>47</v>
      </c>
      <c r="L19">
        <v>1558</v>
      </c>
    </row>
    <row r="20" spans="1:12">
      <c r="A20" t="s">
        <v>61</v>
      </c>
      <c r="B20" t="s">
        <v>62</v>
      </c>
      <c r="C20" t="s">
        <v>36</v>
      </c>
      <c r="D20" t="s">
        <v>38</v>
      </c>
      <c r="E20" t="s">
        <v>63</v>
      </c>
      <c r="F20" s="5">
        <v>46212.005260536032</v>
      </c>
      <c r="H20">
        <v>48</v>
      </c>
      <c r="I20">
        <v>123</v>
      </c>
      <c r="J20">
        <v>171</v>
      </c>
      <c r="K20">
        <v>12924</v>
      </c>
      <c r="L20">
        <v>13095</v>
      </c>
    </row>
    <row r="21" spans="1:12">
      <c r="A21" t="s">
        <v>27</v>
      </c>
      <c r="B21" t="s">
        <v>35</v>
      </c>
      <c r="C21" t="s">
        <v>37</v>
      </c>
      <c r="D21" t="s">
        <v>38</v>
      </c>
      <c r="E21" t="s">
        <v>44</v>
      </c>
      <c r="F21" s="5">
        <v>46212.00527107947</v>
      </c>
      <c r="H21" t="s">
        <v>47</v>
      </c>
      <c r="I21">
        <v>930</v>
      </c>
      <c r="J21" t="s">
        <v>47</v>
      </c>
      <c r="K21" t="s">
        <v>47</v>
      </c>
      <c r="L21">
        <v>930</v>
      </c>
    </row>
    <row r="22" spans="1:12">
      <c r="A22" t="s">
        <v>28</v>
      </c>
      <c r="B22" t="s">
        <v>35</v>
      </c>
      <c r="C22" t="s">
        <v>37</v>
      </c>
      <c r="D22" t="s">
        <v>38</v>
      </c>
      <c r="E22" t="s">
        <v>45</v>
      </c>
      <c r="F22" s="5">
        <v>46212.005271091053</v>
      </c>
      <c r="H22" t="s">
        <v>47</v>
      </c>
      <c r="I22">
        <v>458</v>
      </c>
      <c r="J22" t="s">
        <v>47</v>
      </c>
      <c r="K22" t="s">
        <v>47</v>
      </c>
      <c r="L22">
        <v>458</v>
      </c>
    </row>
    <row r="23" spans="1:12">
      <c r="A23" t="s">
        <v>29</v>
      </c>
      <c r="B23" t="s">
        <v>35</v>
      </c>
      <c r="C23" t="s">
        <v>37</v>
      </c>
      <c r="D23" t="s">
        <v>38</v>
      </c>
      <c r="E23" t="s">
        <v>46</v>
      </c>
      <c r="F23" s="5">
        <v>46212.00527109942</v>
      </c>
      <c r="H23" t="s">
        <v>47</v>
      </c>
      <c r="I23">
        <v>2359</v>
      </c>
      <c r="J23" t="s">
        <v>47</v>
      </c>
      <c r="K23" t="s">
        <v>47</v>
      </c>
      <c r="L23">
        <v>2359</v>
      </c>
    </row>
    <row r="24" spans="1:12">
      <c r="A24" t="s">
        <v>30</v>
      </c>
      <c r="B24" t="s">
        <v>35</v>
      </c>
      <c r="C24" t="s">
        <v>37</v>
      </c>
      <c r="D24" t="s">
        <v>38</v>
      </c>
      <c r="E24" t="s">
        <v>45</v>
      </c>
      <c r="F24" s="5">
        <v>46212.005271107533</v>
      </c>
      <c r="H24" t="s">
        <v>47</v>
      </c>
      <c r="I24">
        <v>1558</v>
      </c>
      <c r="J24" t="s">
        <v>47</v>
      </c>
      <c r="K24" t="s">
        <v>47</v>
      </c>
      <c r="L24">
        <v>1558</v>
      </c>
    </row>
    <row r="25" spans="1:12">
      <c r="A25" t="s">
        <v>64</v>
      </c>
      <c r="B25" t="s">
        <v>65</v>
      </c>
      <c r="C25" t="s">
        <v>36</v>
      </c>
      <c r="D25" t="s">
        <v>38</v>
      </c>
      <c r="E25" t="s">
        <v>66</v>
      </c>
      <c r="F25" s="5">
        <v>46212.002460219337</v>
      </c>
      <c r="H25">
        <v>68</v>
      </c>
      <c r="I25">
        <v>199</v>
      </c>
      <c r="J25">
        <v>267</v>
      </c>
      <c r="K25">
        <v>28656</v>
      </c>
      <c r="L25">
        <v>28923</v>
      </c>
    </row>
    <row r="26" spans="1:12">
      <c r="A26" t="s">
        <v>27</v>
      </c>
      <c r="B26" t="s">
        <v>35</v>
      </c>
      <c r="C26" t="s">
        <v>37</v>
      </c>
      <c r="D26" t="s">
        <v>38</v>
      </c>
      <c r="E26" t="s">
        <v>44</v>
      </c>
      <c r="F26" s="5">
        <v>46212.002470774307</v>
      </c>
      <c r="H26" t="s">
        <v>47</v>
      </c>
      <c r="I26">
        <v>930</v>
      </c>
      <c r="J26" t="s">
        <v>47</v>
      </c>
      <c r="K26" t="s">
        <v>47</v>
      </c>
      <c r="L26">
        <v>930</v>
      </c>
    </row>
    <row r="27" spans="1:12">
      <c r="A27" t="s">
        <v>28</v>
      </c>
      <c r="B27" t="s">
        <v>35</v>
      </c>
      <c r="C27" t="s">
        <v>37</v>
      </c>
      <c r="D27" t="s">
        <v>38</v>
      </c>
      <c r="E27" t="s">
        <v>45</v>
      </c>
      <c r="F27" s="5">
        <v>46212.002470786698</v>
      </c>
      <c r="H27" t="s">
        <v>47</v>
      </c>
      <c r="I27">
        <v>458</v>
      </c>
      <c r="J27" t="s">
        <v>47</v>
      </c>
      <c r="K27" t="s">
        <v>47</v>
      </c>
      <c r="L27">
        <v>458</v>
      </c>
    </row>
    <row r="28" spans="1:12">
      <c r="A28" t="s">
        <v>29</v>
      </c>
      <c r="B28" t="s">
        <v>35</v>
      </c>
      <c r="C28" t="s">
        <v>37</v>
      </c>
      <c r="D28" t="s">
        <v>38</v>
      </c>
      <c r="E28" t="s">
        <v>46</v>
      </c>
      <c r="F28" s="5">
        <v>46212.002470795327</v>
      </c>
      <c r="H28" t="s">
        <v>47</v>
      </c>
      <c r="I28">
        <v>2359</v>
      </c>
      <c r="J28" t="s">
        <v>47</v>
      </c>
      <c r="K28" t="s">
        <v>47</v>
      </c>
      <c r="L28">
        <v>2359</v>
      </c>
    </row>
    <row r="29" spans="1:12">
      <c r="A29" t="s">
        <v>30</v>
      </c>
      <c r="B29" t="s">
        <v>35</v>
      </c>
      <c r="C29" t="s">
        <v>37</v>
      </c>
      <c r="D29" t="s">
        <v>38</v>
      </c>
      <c r="E29" t="s">
        <v>45</v>
      </c>
      <c r="F29" s="5">
        <v>46212.002470803527</v>
      </c>
      <c r="H29" t="s">
        <v>47</v>
      </c>
      <c r="I29">
        <v>1558</v>
      </c>
      <c r="J29" t="s">
        <v>47</v>
      </c>
      <c r="K29" t="s">
        <v>47</v>
      </c>
      <c r="L29">
        <v>1558</v>
      </c>
    </row>
    <row r="30" spans="1:12">
      <c r="A30" t="s">
        <v>67</v>
      </c>
      <c r="B30" t="s">
        <v>68</v>
      </c>
      <c r="C30" t="s">
        <v>36</v>
      </c>
      <c r="D30" t="s">
        <v>38</v>
      </c>
      <c r="E30" t="s">
        <v>69</v>
      </c>
      <c r="F30" s="5">
        <v>46211.99480149537</v>
      </c>
      <c r="H30">
        <v>5</v>
      </c>
      <c r="I30">
        <v>7</v>
      </c>
      <c r="J30">
        <v>12</v>
      </c>
      <c r="K30">
        <v>670</v>
      </c>
      <c r="L30">
        <v>682</v>
      </c>
    </row>
    <row r="31" spans="1:12">
      <c r="A31" t="s">
        <v>70</v>
      </c>
      <c r="B31" t="s">
        <v>71</v>
      </c>
      <c r="C31" t="s">
        <v>36</v>
      </c>
      <c r="D31" t="s">
        <v>39</v>
      </c>
      <c r="E31" t="s">
        <v>45</v>
      </c>
      <c r="F31" s="5">
        <v>46211.99480150899</v>
      </c>
      <c r="H31">
        <v>388</v>
      </c>
      <c r="I31">
        <v>426</v>
      </c>
      <c r="J31">
        <v>814</v>
      </c>
      <c r="K31">
        <v>6196</v>
      </c>
      <c r="L31">
        <v>7010</v>
      </c>
    </row>
    <row r="32" spans="1:12">
      <c r="A32" t="s">
        <v>72</v>
      </c>
      <c r="B32" t="s">
        <v>30</v>
      </c>
      <c r="C32" t="s">
        <v>73</v>
      </c>
      <c r="D32" t="s">
        <v>38</v>
      </c>
      <c r="E32" t="s">
        <v>45</v>
      </c>
      <c r="F32" s="5">
        <v>46211.994801518536</v>
      </c>
      <c r="H32">
        <v>6</v>
      </c>
      <c r="I32">
        <v>365</v>
      </c>
      <c r="J32">
        <v>371</v>
      </c>
      <c r="K32">
        <v>1552</v>
      </c>
      <c r="L32">
        <v>1923</v>
      </c>
    </row>
    <row r="33" spans="1:12">
      <c r="A33" t="s">
        <v>27</v>
      </c>
      <c r="B33" t="s">
        <v>35</v>
      </c>
      <c r="C33" t="s">
        <v>37</v>
      </c>
      <c r="D33" t="s">
        <v>38</v>
      </c>
      <c r="E33" t="s">
        <v>44</v>
      </c>
      <c r="F33" s="5">
        <v>46211.994808766438</v>
      </c>
      <c r="H33" t="s">
        <v>47</v>
      </c>
      <c r="I33">
        <v>930</v>
      </c>
      <c r="J33" t="s">
        <v>47</v>
      </c>
      <c r="K33" t="s">
        <v>47</v>
      </c>
      <c r="L33">
        <v>930</v>
      </c>
    </row>
    <row r="34" spans="1:12">
      <c r="A34" t="s">
        <v>28</v>
      </c>
      <c r="B34" t="s">
        <v>35</v>
      </c>
      <c r="C34" t="s">
        <v>37</v>
      </c>
      <c r="D34" t="s">
        <v>38</v>
      </c>
      <c r="E34" t="s">
        <v>45</v>
      </c>
      <c r="F34" s="5">
        <v>46211.994808777708</v>
      </c>
      <c r="H34" t="s">
        <v>47</v>
      </c>
      <c r="I34">
        <v>458</v>
      </c>
      <c r="J34" t="s">
        <v>47</v>
      </c>
      <c r="K34" t="s">
        <v>47</v>
      </c>
      <c r="L34">
        <v>458</v>
      </c>
    </row>
    <row r="35" spans="1:12">
      <c r="A35" t="s">
        <v>29</v>
      </c>
      <c r="B35" t="s">
        <v>35</v>
      </c>
      <c r="C35" t="s">
        <v>37</v>
      </c>
      <c r="D35" t="s">
        <v>38</v>
      </c>
      <c r="E35" t="s">
        <v>46</v>
      </c>
      <c r="F35" s="5">
        <v>46211.994808786163</v>
      </c>
      <c r="H35" t="s">
        <v>47</v>
      </c>
      <c r="I35">
        <v>2359</v>
      </c>
      <c r="J35" t="s">
        <v>47</v>
      </c>
      <c r="K35" t="s">
        <v>47</v>
      </c>
      <c r="L35">
        <v>2359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石橋 良造</cp:lastModifiedBy>
  <dcterms:created xsi:type="dcterms:W3CDTF">2026-07-08T15:21:53Z</dcterms:created>
  <dcterms:modified xsi:type="dcterms:W3CDTF">2026-07-08T15:55:33Z</dcterms:modified>
</cp:coreProperties>
</file>